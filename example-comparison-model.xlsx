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evelled" sheetId="2" state="visible" r:id="rId2"/>
    <sheet xmlns:r="http://schemas.openxmlformats.org/officeDocument/2006/relationships" name="Provenance" sheetId="3" state="visible" r:id="rId3"/>
    <sheet xmlns:r="http://schemas.openxmlformats.org/officeDocument/2006/relationships" name="Ledger" sheetId="4" state="visible" r:id="rId4"/>
    <sheet xmlns:r="http://schemas.openxmlformats.org/officeDocument/2006/relationships" name="Quarantine" sheetId="5" state="visible" r:id="rId5"/>
    <sheet xmlns:r="http://schemas.openxmlformats.org/officeDocument/2006/relationships" name="Assumptions" sheetId="6" state="visible" r:id="rId6"/>
    <sheet xmlns:r="http://schemas.openxmlformats.org/officeDocument/2006/relationships" name="Sensitiv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b val="1"/>
      <color rgb="005DADE2"/>
      <sz val="14"/>
    </font>
    <font>
      <color rgb="00708090"/>
    </font>
    <font>
      <b val="1"/>
      <color rgb="00708090"/>
    </font>
    <font>
      <b val="1"/>
      <color rgb="00FFFFFF"/>
      <sz val="11"/>
    </font>
    <font>
      <b val="1"/>
      <color rgb="00C0392B"/>
    </font>
    <font>
      <i val="1"/>
      <color rgb="00708090"/>
    </font>
    <font>
      <b val="1"/>
      <color rgb="005DADE2"/>
    </font>
    <font>
      <color rgb="00C0392B"/>
    </font>
    <font>
      <b val="1"/>
    </font>
    <font>
      <color rgb="001E8449"/>
    </font>
  </fonts>
  <fills count="4">
    <fill>
      <patternFill/>
    </fill>
    <fill>
      <patternFill patternType="gray125"/>
    </fill>
    <fill>
      <patternFill patternType="solid">
        <fgColor rgb="005DADE2"/>
      </patternFill>
    </fill>
    <fill>
      <patternFill patternType="solid">
        <fgColor rgb="00FFF4CE"/>
      </patternFill>
    </fill>
  </fills>
  <borders count="2">
    <border>
      <left/>
      <right/>
      <top/>
      <bottom/>
      <diagonal/>
    </border>
    <border>
      <bottom style="thin">
        <color rgb="00D3D3D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0" borderId="1" pivotButton="0" quotePrefix="0" xfId="0"/>
    <xf numFmtId="4" fontId="0" fillId="0" borderId="1" pivotButton="0" quotePrefix="0" xfId="0"/>
    <xf numFmtId="4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3" borderId="0" pivotButton="0" quotePrefix="0" xfId="0"/>
    <xf numFmtId="4" fontId="0" fillId="0" borderId="0" pivotButton="0" quotePrefix="0" xfId="0"/>
    <xf numFmtId="164" fontId="0" fillId="0" borderId="0" pivotButton="0" quotePrefix="0" xfId="0"/>
    <xf numFmtId="4" fontId="8" fillId="0" borderId="0" pivotButton="0" quotePrefix="0" xfId="0"/>
    <xf numFmtId="4" fontId="6" fillId="0" borderId="0" pivotButton="0" quotePrefix="0" xfId="0"/>
    <xf numFmtId="0" fontId="9" fillId="0" borderId="0" pivotButton="0" quotePrefix="0" xfId="0"/>
    <xf numFmtId="4" fontId="9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1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6" customWidth="1" min="5" max="5"/>
    <col width="14" customWidth="1" min="6" max="6"/>
    <col width="20" customWidth="1" min="7" max="7"/>
    <col width="20" customWidth="1" min="8" max="8"/>
  </cols>
  <sheetData>
    <row r="1">
      <c r="A1" s="1" t="inlineStr">
        <is>
          <t>HVAC package — 3 vendor comparison, Nerul warehouse fit-out</t>
        </is>
      </c>
    </row>
    <row r="2">
      <c r="A2" s="2" t="inlineStr">
        <is>
          <t>Currency: INR   Basis: ex_tax</t>
        </is>
      </c>
    </row>
    <row r="3">
      <c r="A3" s="3" t="inlineStr">
        <is>
          <t>GATE: RANKABLE — Quarantined scope 2.1% — immaterial.</t>
        </is>
      </c>
    </row>
    <row r="5" ht="28" customHeight="1">
      <c r="A5" s="4" t="inlineStr">
        <is>
          <t>Vendor</t>
        </is>
      </c>
      <c r="B5" s="4" t="inlineStr">
        <is>
          <t>Ranked total</t>
        </is>
      </c>
      <c r="C5" s="4" t="inlineStr">
        <is>
          <t>Quarantined</t>
        </is>
      </c>
      <c r="D5" s="4" t="inlineStr">
        <is>
          <t>Non-firm</t>
        </is>
      </c>
      <c r="E5" s="4" t="inlineStr">
        <is>
          <t>Stated total</t>
        </is>
      </c>
      <c r="F5" s="4" t="inlineStr">
        <is>
          <t>Recon diff</t>
        </is>
      </c>
      <c r="G5" s="4" t="inlineStr">
        <is>
          <t>Score (your weights)</t>
        </is>
      </c>
      <c r="H5" s="4" t="inlineStr">
        <is>
          <t>Score (equal weights)</t>
        </is>
      </c>
    </row>
    <row r="6">
      <c r="A6" s="5" t="inlineStr">
        <is>
          <t>Aeroflow Systems</t>
        </is>
      </c>
      <c r="B6" s="6" t="n">
        <v>4720000</v>
      </c>
      <c r="C6" s="6" t="n">
        <v>0</v>
      </c>
      <c r="D6" s="6" t="n">
        <v>100000</v>
      </c>
      <c r="E6" s="6" t="n">
        <v>4820000</v>
      </c>
      <c r="F6" s="6" t="n">
        <v>0</v>
      </c>
      <c r="G6" s="5" t="n">
        <v>79.3</v>
      </c>
      <c r="H6" s="5" t="n">
        <v>75.90000000000001</v>
      </c>
    </row>
    <row r="7">
      <c r="A7" s="5" t="inlineStr">
        <is>
          <t>Cooltech Engineering</t>
        </is>
      </c>
      <c r="B7" s="6" t="n">
        <v>3983000</v>
      </c>
      <c r="C7" s="6" t="n">
        <v>85000</v>
      </c>
      <c r="D7" s="6" t="n">
        <v>0</v>
      </c>
      <c r="E7" s="6" t="n">
        <v>3990000</v>
      </c>
      <c r="F7" s="7" t="n">
        <v>78000</v>
      </c>
      <c r="G7" s="5" t="n">
        <v>60.2</v>
      </c>
      <c r="H7" s="5" t="n">
        <v>36.7</v>
      </c>
    </row>
    <row r="8">
      <c r="A8" s="5" t="inlineStr">
        <is>
          <t>Nordic Climate Pvt Ltd</t>
        </is>
      </c>
      <c r="B8" s="6" t="n">
        <v>4900000</v>
      </c>
      <c r="C8" s="6" t="n">
        <v>0</v>
      </c>
      <c r="D8" s="6" t="n">
        <v>0</v>
      </c>
      <c r="E8" s="6" t="n">
        <v>5010000</v>
      </c>
      <c r="F8" s="7" t="n">
        <v>-110000</v>
      </c>
      <c r="G8" s="5" t="n">
        <v>83.09999999999999</v>
      </c>
      <c r="H8" s="5" t="n">
        <v>87.3</v>
      </c>
    </row>
    <row r="10">
      <c r="A10" s="8" t="inlineStr">
        <is>
          <t>Winner holds at both your weights and equal weights.</t>
        </is>
      </c>
    </row>
    <row r="12">
      <c r="A12" s="9" t="inlineStr">
        <is>
          <t>Weights (editable — Sensitivity sheet recalculates)</t>
        </is>
      </c>
    </row>
    <row r="13">
      <c r="A13" t="inlineStr">
        <is>
          <t>price</t>
        </is>
      </c>
      <c r="B13" s="10" t="n">
        <v>45</v>
      </c>
    </row>
    <row r="14">
      <c r="A14" t="inlineStr">
        <is>
          <t>scope_completeness</t>
        </is>
      </c>
      <c r="B14" s="10" t="n">
        <v>15</v>
      </c>
    </row>
    <row r="15">
      <c r="A15" t="inlineStr">
        <is>
          <t>delivery</t>
        </is>
      </c>
      <c r="B15" s="10" t="n">
        <v>10</v>
      </c>
    </row>
    <row r="16">
      <c r="A16" t="inlineStr">
        <is>
          <t>commercial_risk</t>
        </is>
      </c>
      <c r="B16" s="10" t="n">
        <v>15</v>
      </c>
    </row>
    <row r="17">
      <c r="A17" t="inlineStr">
        <is>
          <t>capability</t>
        </is>
      </c>
      <c r="B17" s="10" t="n">
        <v>10</v>
      </c>
    </row>
    <row r="18">
      <c r="A18" t="inlineStr">
        <is>
          <t>terms</t>
        </is>
      </c>
      <c r="B18" s="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0" customWidth="1" min="3" max="3"/>
    <col width="1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4" customWidth="1" min="10" max="10"/>
    <col width="12" customWidth="1" min="11" max="11"/>
  </cols>
  <sheetData>
    <row r="1">
      <c r="A1" s="1" t="inlineStr">
        <is>
          <t>Levelled comparison — one row per mapped scope item</t>
        </is>
      </c>
    </row>
    <row r="3" ht="28" customHeight="1">
      <c r="A3" s="4" t="inlineStr">
        <is>
          <t>Scope item</t>
        </is>
      </c>
      <c r="B3" s="4" t="inlineStr">
        <is>
          <t>Category</t>
        </is>
      </c>
      <c r="C3" s="4" t="inlineStr">
        <is>
          <t>UoM</t>
        </is>
      </c>
      <c r="D3" s="4" t="inlineStr">
        <is>
          <t>Map</t>
        </is>
      </c>
      <c r="E3" s="4" t="inlineStr">
        <is>
          <t>Confidence</t>
        </is>
      </c>
      <c r="F3" s="4" t="inlineStr">
        <is>
          <t>Aeroflow Systems</t>
        </is>
      </c>
      <c r="G3" s="4" t="inlineStr">
        <is>
          <t>Cooltech Engineering</t>
        </is>
      </c>
      <c r="H3" s="4" t="inlineStr">
        <is>
          <t>Nordic Climate Pvt Ltd</t>
        </is>
      </c>
      <c r="I3" s="4" t="inlineStr">
        <is>
          <t>Min</t>
        </is>
      </c>
      <c r="J3" s="4" t="inlineStr">
        <is>
          <t>Max</t>
        </is>
      </c>
      <c r="K3" s="4" t="inlineStr">
        <is>
          <t>Spread %</t>
        </is>
      </c>
    </row>
    <row r="4">
      <c r="A4" t="inlineStr">
        <is>
          <t>AHU units</t>
        </is>
      </c>
      <c r="B4" t="inlineStr">
        <is>
          <t>Equipment</t>
        </is>
      </c>
      <c r="C4" t="inlineStr">
        <is>
          <t>no</t>
        </is>
      </c>
      <c r="D4" t="inlineStr">
        <is>
          <t>one_to_one</t>
        </is>
      </c>
      <c r="E4" t="inlineStr">
        <is>
          <t>high</t>
        </is>
      </c>
      <c r="F4" s="11" t="n">
        <v>1860000</v>
      </c>
      <c r="G4" s="11" t="n">
        <v>1592000</v>
      </c>
      <c r="H4" s="11" t="n">
        <v>1952000</v>
      </c>
      <c r="I4">
        <f>IFERROR(MIN(F4:H4),"")</f>
        <v/>
      </c>
      <c r="J4">
        <f>IFERROR(MAX(F4:H4),"")</f>
        <v/>
      </c>
      <c r="K4" s="12">
        <f>IFERROR((J4-I4)/I4,"")</f>
        <v/>
      </c>
    </row>
    <row r="5">
      <c r="A5" t="inlineStr">
        <is>
          <t>Ducting</t>
        </is>
      </c>
      <c r="B5" t="inlineStr">
        <is>
          <t>Distribution</t>
        </is>
      </c>
      <c r="C5" t="inlineStr">
        <is>
          <t>sqm</t>
        </is>
      </c>
      <c r="D5" t="inlineStr">
        <is>
          <t>one_to_one</t>
        </is>
      </c>
      <c r="E5" t="inlineStr">
        <is>
          <t>high</t>
        </is>
      </c>
      <c r="F5" s="11" t="n">
        <v>1536000</v>
      </c>
      <c r="G5" s="11" t="n">
        <v>1416000</v>
      </c>
      <c r="H5" s="11" t="n">
        <v>1476000</v>
      </c>
      <c r="I5">
        <f>IFERROR(MIN(F5:H5),"")</f>
        <v/>
      </c>
      <c r="J5">
        <f>IFERROR(MAX(F5:H5),"")</f>
        <v/>
      </c>
      <c r="K5" s="12">
        <f>IFERROR((J5-I5)/I5,"")</f>
        <v/>
      </c>
    </row>
    <row r="6">
      <c r="A6" t="inlineStr">
        <is>
          <t>Piping and valves</t>
        </is>
      </c>
      <c r="B6" t="inlineStr">
        <is>
          <t>Distribution</t>
        </is>
      </c>
      <c r="C6" t="inlineStr">
        <is>
          <t>rm</t>
        </is>
      </c>
      <c r="D6" t="inlineStr">
        <is>
          <t>one_to_one</t>
        </is>
      </c>
      <c r="E6" t="inlineStr">
        <is>
          <t>high</t>
        </is>
      </c>
      <c r="F6" s="11" t="n">
        <v>672000</v>
      </c>
      <c r="G6" s="11" t="n">
        <v>880000</v>
      </c>
      <c r="H6" s="11" t="n">
        <v>656000</v>
      </c>
      <c r="I6">
        <f>IFERROR(MIN(F6:H6),"")</f>
        <v/>
      </c>
      <c r="J6">
        <f>IFERROR(MAX(F6:H6),"")</f>
        <v/>
      </c>
      <c r="K6" s="12">
        <f>IFERROR((J6-I6)/I6,"")</f>
        <v/>
      </c>
    </row>
    <row r="7">
      <c r="A7" t="inlineStr">
        <is>
          <t>Installation and commissioning</t>
        </is>
      </c>
      <c r="B7" t="inlineStr">
        <is>
          <t>Services</t>
        </is>
      </c>
      <c r="C7" t="inlineStr">
        <is>
          <t>LS</t>
        </is>
      </c>
      <c r="D7" t="inlineStr">
        <is>
          <t>one_to_one</t>
        </is>
      </c>
      <c r="E7" t="inlineStr">
        <is>
          <t>high</t>
        </is>
      </c>
      <c r="F7" s="11" t="n">
        <v>520000</v>
      </c>
      <c r="G7" s="13" t="inlineStr">
        <is>
          <t>—</t>
        </is>
      </c>
      <c r="H7" s="11" t="n">
        <v>610000</v>
      </c>
      <c r="I7">
        <f>IFERROR(MIN(F7:H7),"")</f>
        <v/>
      </c>
      <c r="J7">
        <f>IFERROR(MAX(F7:H7),"")</f>
        <v/>
      </c>
      <c r="K7" s="12">
        <f>IFERROR((J7-I7)/I7,"")</f>
        <v/>
      </c>
    </row>
    <row r="8">
      <c r="A8" t="inlineStr">
        <is>
          <t>Freight</t>
        </is>
      </c>
      <c r="B8" t="inlineStr">
        <is>
          <t>Logistics</t>
        </is>
      </c>
      <c r="C8" t="inlineStr">
        <is>
          <t>LS</t>
        </is>
      </c>
      <c r="D8" t="inlineStr">
        <is>
          <t>one_to_one</t>
        </is>
      </c>
      <c r="E8" t="inlineStr">
        <is>
          <t>high</t>
        </is>
      </c>
      <c r="F8" s="11" t="n">
        <v>132000</v>
      </c>
      <c r="G8" s="11" t="n">
        <v>95000</v>
      </c>
      <c r="H8" s="11" t="n">
        <v>141000</v>
      </c>
      <c r="I8">
        <f>IFERROR(MIN(F8:H8),"")</f>
        <v/>
      </c>
      <c r="J8">
        <f>IFERROR(MAX(F8:H8),"")</f>
        <v/>
      </c>
      <c r="K8" s="12">
        <f>IFERROR((J8-I8)/I8,"")</f>
        <v/>
      </c>
    </row>
    <row r="9">
      <c r="A9" t="inlineStr">
        <is>
          <t>Controls and BMS interface</t>
        </is>
      </c>
      <c r="B9" t="inlineStr">
        <is>
          <t>Controls</t>
        </is>
      </c>
      <c r="C9" t="inlineStr">
        <is>
          <t>LS</t>
        </is>
      </c>
      <c r="D9" t="inlineStr">
        <is>
          <t>one_to_one</t>
        </is>
      </c>
      <c r="E9" t="inlineStr">
        <is>
          <t>high</t>
        </is>
      </c>
      <c r="F9" s="11" t="n">
        <v>100000</v>
      </c>
      <c r="G9" s="13" t="inlineStr">
        <is>
          <t>—</t>
        </is>
      </c>
      <c r="H9" s="13" t="inlineStr">
        <is>
          <t>—</t>
        </is>
      </c>
      <c r="I9">
        <f>IFERROR(MIN(F9:H9),"")</f>
        <v/>
      </c>
      <c r="J9">
        <f>IFERROR(MAX(F9:H9),"")</f>
        <v/>
      </c>
      <c r="K9" s="12">
        <f>IFERROR((J9-I9)/I9,"")</f>
        <v/>
      </c>
    </row>
    <row r="10">
      <c r="A10" t="inlineStr">
        <is>
          <t>Site supervision</t>
        </is>
      </c>
      <c r="B10" t="inlineStr">
        <is>
          <t>Services</t>
        </is>
      </c>
      <c r="C10" t="inlineStr">
        <is>
          <t>LS</t>
        </is>
      </c>
      <c r="D10" t="inlineStr">
        <is>
          <t>one_to_one</t>
        </is>
      </c>
      <c r="E10" t="inlineStr">
        <is>
          <t>high</t>
        </is>
      </c>
      <c r="F10" s="13" t="inlineStr">
        <is>
          <t>—</t>
        </is>
      </c>
      <c r="G10" s="14" t="n">
        <v>85000</v>
      </c>
      <c r="H10" s="13" t="inlineStr">
        <is>
          <t>—</t>
        </is>
      </c>
      <c r="I10">
        <f>IFERROR(MIN(F10:H10),"")</f>
        <v/>
      </c>
      <c r="J10">
        <f>IFERROR(MAX(F10:H10),"")</f>
        <v/>
      </c>
      <c r="K10" s="12">
        <f>IFERROR((J10-I10)/I10,"")</f>
        <v/>
      </c>
    </row>
    <row r="11">
      <c r="A11" t="inlineStr">
        <is>
          <t>Operator training</t>
        </is>
      </c>
      <c r="B11" t="inlineStr">
        <is>
          <t>Services</t>
        </is>
      </c>
      <c r="C11" t="inlineStr">
        <is>
          <t>LS</t>
        </is>
      </c>
      <c r="D11" t="inlineStr">
        <is>
          <t>one_to_one</t>
        </is>
      </c>
      <c r="E11" t="inlineStr">
        <is>
          <t>high</t>
        </is>
      </c>
      <c r="F11" s="13" t="inlineStr">
        <is>
          <t>—</t>
        </is>
      </c>
      <c r="G11" s="13" t="inlineStr">
        <is>
          <t>—</t>
        </is>
      </c>
      <c r="H11" s="11" t="n">
        <v>65000</v>
      </c>
      <c r="I11">
        <f>IFERROR(MIN(F11:H11),"")</f>
        <v/>
      </c>
      <c r="J11">
        <f>IFERROR(MAX(F11:H11),"")</f>
        <v/>
      </c>
      <c r="K11" s="12">
        <f>IFERROR((J11-I11)/I11,"")</f>
        <v/>
      </c>
    </row>
    <row r="12">
      <c r="A12" s="15" t="inlineStr">
        <is>
          <t>TOTAL (all rows incl. quarantined)</t>
        </is>
      </c>
      <c r="F12" s="16">
        <f>SUM(F4:F11)</f>
        <v/>
      </c>
      <c r="G12" s="16">
        <f>SUM(G4:G11)</f>
        <v/>
      </c>
      <c r="H12" s="16">
        <f>SUM(H4:H11)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10" customWidth="1" min="4" max="4"/>
    <col width="10" customWidth="1" min="5" max="5"/>
    <col width="80" customWidth="1" min="6" max="6"/>
  </cols>
  <sheetData>
    <row r="1">
      <c r="A1" s="1" t="inlineStr">
        <is>
          <t>Provenance — every compared line traced to its source text</t>
        </is>
      </c>
    </row>
    <row r="3" ht="28" customHeight="1">
      <c r="A3" s="4" t="inlineStr">
        <is>
          <t>Vendor</t>
        </is>
      </c>
      <c r="B3" s="4" t="inlineStr">
        <is>
          <t>Scope item</t>
        </is>
      </c>
      <c r="C3" s="4" t="inlineStr">
        <is>
          <t>Source file / ref</t>
        </is>
      </c>
      <c r="D3" s="4" t="inlineStr">
        <is>
          <t>Page</t>
        </is>
      </c>
      <c r="E3" s="4" t="inlineStr">
        <is>
          <t>Row</t>
        </is>
      </c>
      <c r="F3" s="4" t="inlineStr">
        <is>
          <t>Verbatim original text</t>
        </is>
      </c>
    </row>
    <row r="4">
      <c r="A4" t="inlineStr">
        <is>
          <t>Aeroflow Systems</t>
        </is>
      </c>
      <c r="B4" t="inlineStr">
        <is>
          <t>AHU units</t>
        </is>
      </c>
      <c r="C4" t="inlineStr">
        <is>
          <t>AFS/2026/0412</t>
        </is>
      </c>
      <c r="D4" t="inlineStr">
        <is>
          <t>2</t>
        </is>
      </c>
      <c r="E4" t="inlineStr">
        <is>
          <t>1</t>
        </is>
      </c>
      <c r="F4" s="17" t="inlineStr">
        <is>
          <t>Supply of Air Handling Units, 10TR capacity, make: as specified premium brand</t>
        </is>
      </c>
    </row>
    <row r="5">
      <c r="A5" t="inlineStr">
        <is>
          <t>Aeroflow Systems</t>
        </is>
      </c>
      <c r="B5" t="inlineStr">
        <is>
          <t>Ducting</t>
        </is>
      </c>
      <c r="C5" t="inlineStr">
        <is>
          <t>AFS/2026/0412</t>
        </is>
      </c>
      <c r="D5" t="inlineStr">
        <is>
          <t>2</t>
        </is>
      </c>
      <c r="E5" t="inlineStr">
        <is>
          <t>4</t>
        </is>
      </c>
      <c r="F5" s="17" t="inlineStr">
        <is>
          <t>GI sheet metal ducting with 25mm nitrile insulation, rate per sqm of duct surface</t>
        </is>
      </c>
    </row>
    <row r="6">
      <c r="A6" t="inlineStr">
        <is>
          <t>Aeroflow Systems</t>
        </is>
      </c>
      <c r="B6" t="inlineStr">
        <is>
          <t>Piping and valves</t>
        </is>
      </c>
      <c r="C6" t="inlineStr">
        <is>
          <t>AFS/2026/0412</t>
        </is>
      </c>
      <c r="D6" t="inlineStr">
        <is>
          <t>3</t>
        </is>
      </c>
      <c r="E6" t="inlineStr">
        <is>
          <t>2</t>
        </is>
      </c>
      <c r="F6" s="17" t="inlineStr">
        <is>
          <t>MS chilled water piping with insulation, valves and fittings</t>
        </is>
      </c>
    </row>
    <row r="7">
      <c r="A7" t="inlineStr">
        <is>
          <t>Aeroflow Systems</t>
        </is>
      </c>
      <c r="B7" t="inlineStr">
        <is>
          <t>Installation and commissioning</t>
        </is>
      </c>
      <c r="C7" t="inlineStr">
        <is>
          <t>AFS/2026/0412</t>
        </is>
      </c>
      <c r="D7" t="inlineStr">
        <is>
          <t>3</t>
        </is>
      </c>
      <c r="E7" t="inlineStr">
        <is>
          <t>7</t>
        </is>
      </c>
      <c r="F7" s="17" t="inlineStr">
        <is>
          <t>Erection, installation, testing and balancing — lump sum</t>
        </is>
      </c>
    </row>
    <row r="8">
      <c r="A8" t="inlineStr">
        <is>
          <t>Aeroflow Systems</t>
        </is>
      </c>
      <c r="B8" t="inlineStr">
        <is>
          <t>Freight</t>
        </is>
      </c>
      <c r="C8" t="inlineStr">
        <is>
          <t>AFS/2026/0412</t>
        </is>
      </c>
      <c r="D8" t="inlineStr">
        <is>
          <t>3</t>
        </is>
      </c>
      <c r="E8" t="inlineStr">
        <is>
          <t>9</t>
        </is>
      </c>
      <c r="F8" s="17" t="inlineStr">
        <is>
          <t>Transportation to site, inclusive of unloading</t>
        </is>
      </c>
    </row>
    <row r="9">
      <c r="A9" t="inlineStr">
        <is>
          <t>Aeroflow Systems</t>
        </is>
      </c>
      <c r="B9" t="inlineStr">
        <is>
          <t>Controls and BMS interface</t>
        </is>
      </c>
      <c r="C9" t="inlineStr">
        <is>
          <t>AFS/2026/0412</t>
        </is>
      </c>
      <c r="D9" t="inlineStr">
        <is>
          <t>4</t>
        </is>
      </c>
      <c r="E9" t="inlineStr">
        <is>
          <t>1</t>
        </is>
      </c>
      <c r="F9" s="17" t="inlineStr">
        <is>
          <t>BMS interface — provisional sum, subject to final BMS scope</t>
        </is>
      </c>
    </row>
    <row r="10">
      <c r="A10" t="inlineStr">
        <is>
          <t>Cooltech Engineering</t>
        </is>
      </c>
      <c r="B10" t="inlineStr">
        <is>
          <t>AHU units</t>
        </is>
      </c>
      <c r="C10" t="inlineStr">
        <is>
          <t>CTE-Q-8841</t>
        </is>
      </c>
      <c r="D10" t="inlineStr">
        <is>
          <t>1</t>
        </is>
      </c>
      <c r="E10" t="inlineStr">
        <is>
          <t>1</t>
        </is>
      </c>
      <c r="F10" s="17" t="inlineStr">
        <is>
          <t>Supply of AHU 10TR — make: equivalent approved</t>
        </is>
      </c>
    </row>
    <row r="11">
      <c r="A11" t="inlineStr">
        <is>
          <t>Cooltech Engineering</t>
        </is>
      </c>
      <c r="B11" t="inlineStr">
        <is>
          <t>Ducting</t>
        </is>
      </c>
      <c r="C11" t="inlineStr">
        <is>
          <t>CTE-Q-8841</t>
        </is>
      </c>
      <c r="D11" t="inlineStr">
        <is>
          <t>1</t>
        </is>
      </c>
      <c r="E11" t="inlineStr">
        <is>
          <t>3</t>
        </is>
      </c>
      <c r="F11" s="17" t="inlineStr">
        <is>
          <t>GI ducting with insulation as per spec</t>
        </is>
      </c>
    </row>
    <row r="12">
      <c r="A12" t="inlineStr">
        <is>
          <t>Cooltech Engineering</t>
        </is>
      </c>
      <c r="B12" t="inlineStr">
        <is>
          <t>Piping and valves</t>
        </is>
      </c>
      <c r="C12" t="inlineStr">
        <is>
          <t>CTE-Q-8841</t>
        </is>
      </c>
      <c r="D12" t="inlineStr">
        <is>
          <t>2</t>
        </is>
      </c>
      <c r="E12" t="inlineStr">
        <is>
          <t>1</t>
        </is>
      </c>
      <c r="F12" s="17" t="inlineStr">
        <is>
          <t>Chilled water piping complete with valves</t>
        </is>
      </c>
    </row>
    <row r="13">
      <c r="A13" t="inlineStr">
        <is>
          <t>Cooltech Engineering</t>
        </is>
      </c>
      <c r="B13" t="inlineStr">
        <is>
          <t>Freight</t>
        </is>
      </c>
      <c r="C13" t="inlineStr">
        <is>
          <t>CTE-Q-8841</t>
        </is>
      </c>
      <c r="D13" t="inlineStr">
        <is>
          <t>2</t>
        </is>
      </c>
      <c r="E13" t="inlineStr">
        <is>
          <t>4</t>
        </is>
      </c>
      <c r="F13" s="17" t="inlineStr">
        <is>
          <t>Freight up to site gate. Unloading in client scope.</t>
        </is>
      </c>
    </row>
    <row r="14">
      <c r="A14" t="inlineStr">
        <is>
          <t>Cooltech Engineering</t>
        </is>
      </c>
      <c r="B14" t="inlineStr">
        <is>
          <t>Site supervision</t>
        </is>
      </c>
      <c r="C14" t="inlineStr">
        <is>
          <t>CTE-Q-8841</t>
        </is>
      </c>
      <c r="D14" t="inlineStr">
        <is>
          <t>2</t>
        </is>
      </c>
      <c r="E14" t="inlineStr">
        <is>
          <t>6</t>
        </is>
      </c>
      <c r="F14" s="17" t="inlineStr">
        <is>
          <t>Technical supervision during client-arranged erection</t>
        </is>
      </c>
    </row>
    <row r="15">
      <c r="A15" t="inlineStr">
        <is>
          <t>Nordic Climate Pvt Ltd</t>
        </is>
      </c>
      <c r="B15" t="inlineStr">
        <is>
          <t>AHU units</t>
        </is>
      </c>
      <c r="C15" t="inlineStr">
        <is>
          <t>NCPL/26/1190</t>
        </is>
      </c>
      <c r="D15" t="inlineStr">
        <is>
          <t>2</t>
        </is>
      </c>
      <c r="E15" t="inlineStr">
        <is>
          <t>1</t>
        </is>
      </c>
      <c r="F15" s="17" t="inlineStr">
        <is>
          <t>Air Handling Units 10TR, premium imported make, 3 year warranty</t>
        </is>
      </c>
    </row>
    <row r="16">
      <c r="A16" t="inlineStr">
        <is>
          <t>Nordic Climate Pvt Ltd</t>
        </is>
      </c>
      <c r="B16" t="inlineStr">
        <is>
          <t>Ducting</t>
        </is>
      </c>
      <c r="C16" t="inlineStr">
        <is>
          <t>NCPL/26/1190</t>
        </is>
      </c>
      <c r="D16" t="inlineStr">
        <is>
          <t>2</t>
        </is>
      </c>
      <c r="E16" t="inlineStr">
        <is>
          <t>3</t>
        </is>
      </c>
      <c r="F16" s="17" t="inlineStr">
        <is>
          <t>GI ducting, 25mm insulation, factory fabricated</t>
        </is>
      </c>
    </row>
    <row r="17">
      <c r="A17" t="inlineStr">
        <is>
          <t>Nordic Climate Pvt Ltd</t>
        </is>
      </c>
      <c r="B17" t="inlineStr">
        <is>
          <t>Piping and valves</t>
        </is>
      </c>
      <c r="C17" t="inlineStr">
        <is>
          <t>NCPL/26/1190</t>
        </is>
      </c>
      <c r="D17" t="inlineStr">
        <is>
          <t>3</t>
        </is>
      </c>
      <c r="E17" t="inlineStr">
        <is>
          <t>1</t>
        </is>
      </c>
      <c r="F17" s="17" t="inlineStr">
        <is>
          <t>Chilled water piping with insulation, valves, hangers</t>
        </is>
      </c>
    </row>
    <row r="18">
      <c r="A18" t="inlineStr">
        <is>
          <t>Nordic Climate Pvt Ltd</t>
        </is>
      </c>
      <c r="B18" t="inlineStr">
        <is>
          <t>Installation and commissioning</t>
        </is>
      </c>
      <c r="C18" t="inlineStr">
        <is>
          <t>NCPL/26/1190</t>
        </is>
      </c>
      <c r="D18" t="inlineStr">
        <is>
          <t>3</t>
        </is>
      </c>
      <c r="E18" t="inlineStr">
        <is>
          <t>5</t>
        </is>
      </c>
      <c r="F18" s="17" t="inlineStr">
        <is>
          <t>Complete erection, installation, commissioning, testing &amp; balancing</t>
        </is>
      </c>
    </row>
    <row r="19">
      <c r="A19" t="inlineStr">
        <is>
          <t>Nordic Climate Pvt Ltd</t>
        </is>
      </c>
      <c r="B19" t="inlineStr">
        <is>
          <t>Freight</t>
        </is>
      </c>
      <c r="C19" t="inlineStr">
        <is>
          <t>NCPL/26/1190</t>
        </is>
      </c>
      <c r="D19" t="inlineStr">
        <is>
          <t>3</t>
        </is>
      </c>
      <c r="E19" t="inlineStr">
        <is>
          <t>8</t>
        </is>
      </c>
      <c r="F19" s="17" t="inlineStr">
        <is>
          <t>Transport, unloading and shifting to location</t>
        </is>
      </c>
    </row>
    <row r="20">
      <c r="A20" t="inlineStr">
        <is>
          <t>Nordic Climate Pvt Ltd</t>
        </is>
      </c>
      <c r="B20" t="inlineStr">
        <is>
          <t>Operator training</t>
        </is>
      </c>
      <c r="C20" t="inlineStr">
        <is>
          <t>NCPL/26/1190</t>
        </is>
      </c>
      <c r="D20" t="inlineStr">
        <is>
          <t>4</t>
        </is>
      </c>
      <c r="E20" t="inlineStr">
        <is>
          <t>2</t>
        </is>
      </c>
      <c r="F20" s="17" t="inlineStr">
        <is>
          <t>Two-day operator training for client facilities team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Inclusion / exclusion ledger</t>
        </is>
      </c>
    </row>
    <row r="3" ht="28" customHeight="1">
      <c r="A3" s="4" t="inlineStr">
        <is>
          <t>Scope element</t>
        </is>
      </c>
      <c r="B3" s="4" t="inlineStr">
        <is>
          <t>Aeroflow Systems</t>
        </is>
      </c>
      <c r="C3" s="4" t="inlineStr">
        <is>
          <t>Cooltech Engineering</t>
        </is>
      </c>
      <c r="D3" s="4" t="inlineStr">
        <is>
          <t>Nordic Climate Pvt Ltd</t>
        </is>
      </c>
    </row>
    <row r="4">
      <c r="A4" s="18" t="inlineStr">
        <is>
          <t>Freight to site</t>
        </is>
      </c>
      <c r="B4" s="19" t="inlineStr">
        <is>
          <t>Included</t>
        </is>
      </c>
      <c r="C4" s="19" t="inlineStr">
        <is>
          <t>Included</t>
        </is>
      </c>
      <c r="D4" s="19" t="inlineStr">
        <is>
          <t>Included</t>
        </is>
      </c>
    </row>
    <row r="5">
      <c r="A5" s="18" t="inlineStr">
        <is>
          <t>Installation</t>
        </is>
      </c>
      <c r="B5" s="19" t="inlineStr">
        <is>
          <t>Included</t>
        </is>
      </c>
      <c r="C5" s="20" t="inlineStr">
        <is>
          <t>EXCLUDED</t>
        </is>
      </c>
      <c r="D5" s="19" t="inlineStr">
        <is>
          <t>Included</t>
        </is>
      </c>
    </row>
    <row r="6">
      <c r="A6" s="18" t="inlineStr">
        <is>
          <t>Commissioning</t>
        </is>
      </c>
      <c r="B6" s="19" t="inlineStr">
        <is>
          <t>Included</t>
        </is>
      </c>
      <c r="C6" s="20" t="inlineStr">
        <is>
          <t>EXCLUDED</t>
        </is>
      </c>
      <c r="D6" s="19" t="inlineStr">
        <is>
          <t>Included</t>
        </is>
      </c>
    </row>
    <row r="7">
      <c r="A7" s="18" t="inlineStr">
        <is>
          <t>Testing &amp; balancing</t>
        </is>
      </c>
      <c r="B7" s="19" t="inlineStr">
        <is>
          <t>Included</t>
        </is>
      </c>
      <c r="C7" s="20" t="inlineStr">
        <is>
          <t>EXCLUDED</t>
        </is>
      </c>
      <c r="D7" s="19" t="inlineStr">
        <is>
          <t>Included</t>
        </is>
      </c>
    </row>
    <row r="8">
      <c r="A8" s="18" t="inlineStr">
        <is>
          <t>Electrical supply up to panel</t>
        </is>
      </c>
      <c r="B8" s="20" t="inlineStr">
        <is>
          <t>EXCLUDED</t>
        </is>
      </c>
      <c r="C8" s="20" t="inlineStr">
        <is>
          <t>EXCLUDED</t>
        </is>
      </c>
      <c r="D8" s="20" t="inlineStr">
        <is>
          <t>EXCLUDED</t>
        </is>
      </c>
    </row>
    <row r="9">
      <c r="A9" s="18" t="inlineStr">
        <is>
          <t>Operator training</t>
        </is>
      </c>
      <c r="B9" s="2" t="inlineStr">
        <is>
          <t>not stated — ask</t>
        </is>
      </c>
      <c r="C9" s="2" t="inlineStr">
        <is>
          <t>not stated — ask</t>
        </is>
      </c>
      <c r="D9" s="19" t="inlineStr">
        <is>
          <t>Included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6" customWidth="1" min="3" max="3"/>
    <col width="34" customWidth="1" min="4" max="4"/>
    <col width="48" customWidth="1" min="5" max="5"/>
  </cols>
  <sheetData>
    <row r="1">
      <c r="A1" s="1" t="inlineStr">
        <is>
          <t>Quarantined scope — excluded from ranked totals</t>
        </is>
      </c>
    </row>
    <row r="2">
      <c r="A2" s="2" t="inlineStr">
        <is>
          <t>Quarantine ratio: 2.1%   Quarantined scope 2.1% — immaterial.</t>
        </is>
      </c>
    </row>
    <row r="4" ht="28" customHeight="1">
      <c r="A4" s="4" t="inlineStr">
        <is>
          <t>Vendor</t>
        </is>
      </c>
      <c r="B4" s="4" t="inlineStr">
        <is>
          <t>Scope item</t>
        </is>
      </c>
      <c r="C4" s="4" t="inlineStr">
        <is>
          <t>Value</t>
        </is>
      </c>
      <c r="D4" s="4" t="inlineStr">
        <is>
          <t>Reason</t>
        </is>
      </c>
      <c r="E4" s="4" t="inlineStr">
        <is>
          <t>Question that releases it</t>
        </is>
      </c>
    </row>
    <row r="5">
      <c r="A5" t="inlineStr">
        <is>
          <t>Cooltech Engineering</t>
        </is>
      </c>
      <c r="B5" t="inlineStr">
        <is>
          <t>Site supervision</t>
        </is>
      </c>
      <c r="C5" s="11" t="n">
        <v>85000</v>
      </c>
      <c r="D5" t="inlineStr">
        <is>
          <t>Supervision only, not installation — not comparable to A and C's installed scope</t>
        </is>
      </c>
      <c r="E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50" customWidth="1" min="3" max="3"/>
    <col width="30" customWidth="1" min="4" max="4"/>
  </cols>
  <sheetData>
    <row r="1">
      <c r="A1" s="1" t="inlineStr">
        <is>
          <t>Assumption register — every assumption made to level these quotes</t>
        </is>
      </c>
    </row>
    <row r="3" ht="28" customHeight="1">
      <c r="A3" s="4" t="inlineStr">
        <is>
          <t>#</t>
        </is>
      </c>
      <c r="B3" s="4" t="inlineStr">
        <is>
          <t>Assumption</t>
        </is>
      </c>
      <c r="C3" s="4" t="inlineStr">
        <is>
          <t>Impact if wrong</t>
        </is>
      </c>
      <c r="D3" s="4" t="inlineStr">
        <is>
          <t>Affects</t>
        </is>
      </c>
    </row>
    <row r="4">
      <c r="A4" t="n">
        <v>1</v>
      </c>
      <c r="B4" s="18" t="inlineStr">
        <is>
          <t>Ducting quantity of 2400 sqm taken as the client BOQ figure for all three vendors.</t>
        </is>
      </c>
      <c r="C4" s="18" t="inlineStr">
        <is>
          <t>Ducting is ~30% of value; a 10% quantity error moves the gap by roughly INR 1.5L.</t>
        </is>
      </c>
      <c r="D4" t="inlineStr">
        <is>
          <t>Ducting</t>
        </is>
      </c>
    </row>
    <row r="5">
      <c r="A5" t="n">
        <v>2</v>
      </c>
      <c r="B5" s="18" t="inlineStr">
        <is>
          <t>Cooltech's excluded installation valued at Aeroflow's rate for the purpose of the ledger, not added to the ranked total.</t>
        </is>
      </c>
      <c r="C5" s="18" t="inlineStr">
        <is>
          <t>If the client's own erection contractor is cheaper, Cooltech's true gap narrows.</t>
        </is>
      </c>
      <c r="D5" t="inlineStr">
        <is>
          <t>Installation and commissioning</t>
        </is>
      </c>
    </row>
    <row r="6">
      <c r="A6" t="n">
        <v>3</v>
      </c>
      <c r="B6" s="18" t="inlineStr">
        <is>
          <t>GST assumed fully creditable to the buyer and therefore excluded from the comparison basis.</t>
        </is>
      </c>
      <c r="C6" s="18" t="inlineStr">
        <is>
          <t>If credit is unavailable, all totals rise proportionately but the ranking is unchanged.</t>
        </is>
      </c>
      <c r="D6" t="inlineStr">
        <is>
          <t>all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Sensitivity — change a weight, the ranking moves</t>
        </is>
      </c>
    </row>
    <row r="3" ht="28" customHeight="1">
      <c r="A3" s="4" t="inlineStr">
        <is>
          <t>Vendor</t>
        </is>
      </c>
      <c r="B3" s="4" t="inlineStr">
        <is>
          <t>price</t>
        </is>
      </c>
      <c r="C3" s="4" t="inlineStr">
        <is>
          <t>scope_completeness</t>
        </is>
      </c>
      <c r="D3" s="4" t="inlineStr">
        <is>
          <t>delivery</t>
        </is>
      </c>
      <c r="E3" s="4" t="inlineStr">
        <is>
          <t>commercial_risk</t>
        </is>
      </c>
      <c r="F3" s="4" t="inlineStr">
        <is>
          <t>capability</t>
        </is>
      </c>
      <c r="G3" s="4" t="inlineStr">
        <is>
          <t>terms</t>
        </is>
      </c>
      <c r="H3" s="4" t="inlineStr">
        <is>
          <t>Weighted score</t>
        </is>
      </c>
    </row>
    <row r="4">
      <c r="A4" t="inlineStr">
        <is>
          <t>Nordic Climate Pvt Ltd</t>
        </is>
      </c>
      <c r="B4" t="n">
        <v>81.3</v>
      </c>
      <c r="C4" t="n">
        <v>75</v>
      </c>
      <c r="D4" t="n">
        <v>100</v>
      </c>
      <c r="E4" t="n">
        <v>80</v>
      </c>
      <c r="G4" t="n">
        <v>100</v>
      </c>
      <c r="H4" s="15">
        <f>IFERROR((B4*A$10+C4*B$10+D4*C$10+E4*D$10+G4*F$10)/(A$10+B$10+C$10+D$10+F$10),"")</f>
        <v/>
      </c>
    </row>
    <row r="5">
      <c r="A5" t="inlineStr">
        <is>
          <t>Aeroflow Systems</t>
        </is>
      </c>
      <c r="B5" t="n">
        <v>84.40000000000001</v>
      </c>
      <c r="C5" t="n">
        <v>75</v>
      </c>
      <c r="D5" t="n">
        <v>83.3</v>
      </c>
      <c r="E5" t="n">
        <v>70</v>
      </c>
      <c r="G5" t="n">
        <v>66.7</v>
      </c>
      <c r="H5" s="15">
        <f>IFERROR((B5*A$10+C5*B$10+D5*C$10+E5*D$10+G5*F$10)/(A$10+B$10+C$10+D$10+F$10),"")</f>
        <v/>
      </c>
    </row>
    <row r="6">
      <c r="A6" t="inlineStr">
        <is>
          <t>Cooltech Engineering</t>
        </is>
      </c>
      <c r="B6" t="n">
        <v>100</v>
      </c>
      <c r="C6" t="n">
        <v>0</v>
      </c>
      <c r="D6" t="n">
        <v>0</v>
      </c>
      <c r="E6" t="n">
        <v>50</v>
      </c>
      <c r="G6" t="n">
        <v>33.3</v>
      </c>
      <c r="H6" s="15">
        <f>IFERROR((B6*A$10+C6*B$10+D6*C$10+E6*D$10+G6*F$10)/(A$10+B$10+C$10+D$10+F$10),"")</f>
        <v/>
      </c>
    </row>
    <row r="8">
      <c r="A8" s="9" t="inlineStr">
        <is>
          <t>Weights (edit these)</t>
        </is>
      </c>
    </row>
    <row r="9">
      <c r="A9" s="2" t="inlineStr">
        <is>
          <t>price</t>
        </is>
      </c>
      <c r="B9" s="2" t="inlineStr">
        <is>
          <t>scope_completeness</t>
        </is>
      </c>
      <c r="C9" s="2" t="inlineStr">
        <is>
          <t>delivery</t>
        </is>
      </c>
      <c r="D9" s="2" t="inlineStr">
        <is>
          <t>commercial_risk</t>
        </is>
      </c>
      <c r="E9" s="2" t="inlineStr">
        <is>
          <t>capability</t>
        </is>
      </c>
      <c r="F9" s="2" t="inlineStr">
        <is>
          <t>terms</t>
        </is>
      </c>
    </row>
    <row r="10">
      <c r="A10" s="10" t="n">
        <v>45</v>
      </c>
      <c r="B10" s="10" t="n">
        <v>15</v>
      </c>
      <c r="C10" s="10" t="n">
        <v>10</v>
      </c>
      <c r="D10" s="10" t="n">
        <v>15</v>
      </c>
      <c r="E10" s="10" t="n">
        <v>10</v>
      </c>
      <c r="F10" s="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2026-09-12T07:06:53Z</dcterms:created>
  <dcterms:modified xmlns:dcterms="http://purl.org/dc/terms/" xmlns:xsi="http://www.w3.org/2001/XMLSchema-instance" xsi:type="dcterms:W3CDTF">2026-09-12T07:06:53Z</dcterms:modified>
</cp:coreProperties>
</file>